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8800" windowHeight="11625"/>
  </bookViews>
  <sheets>
    <sheet name="Лист1" sheetId="1" r:id="rId1"/>
  </sheets>
  <definedNames>
    <definedName name="_xlchart.v1.0" hidden="1">Лист1!$C$33:$D$33</definedName>
    <definedName name="_xlchart.v1.1" hidden="1">Лист1!$C$34:$D$34</definedName>
    <definedName name="_xlchart.v1.2" hidden="1">Лист1!$R$33:$S$33</definedName>
    <definedName name="_xlchart.v1.3" hidden="1">Лист1!$R$34:$S$34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S34" i="1" s="1"/>
  <c r="C34" i="1"/>
  <c r="J34" i="1" s="1"/>
  <c r="I34" i="1" l="1"/>
  <c r="R34" i="1"/>
</calcChain>
</file>

<file path=xl/sharedStrings.xml><?xml version="1.0" encoding="utf-8"?>
<sst xmlns="http://schemas.openxmlformats.org/spreadsheetml/2006/main" count="56" uniqueCount="33">
  <si>
    <t>ФИ</t>
  </si>
  <si>
    <t>пол</t>
  </si>
  <si>
    <t>возраст</t>
  </si>
  <si>
    <t>Башаев Микаил</t>
  </si>
  <si>
    <t>М</t>
  </si>
  <si>
    <t>Борисов Роман</t>
  </si>
  <si>
    <t>Васильева Анна</t>
  </si>
  <si>
    <t>Глушков Тимур</t>
  </si>
  <si>
    <t>Закарян Нарек</t>
  </si>
  <si>
    <t>Карнаухов Богдан</t>
  </si>
  <si>
    <t>Коротков Максим</t>
  </si>
  <si>
    <t>Кочергин Павел</t>
  </si>
  <si>
    <t>Кошкин Алексей</t>
  </si>
  <si>
    <t>Крапивина Екатерина</t>
  </si>
  <si>
    <t>Кузьмин Дмитрий</t>
  </si>
  <si>
    <t>Максимова Евгения</t>
  </si>
  <si>
    <t>Мельников Антон</t>
  </si>
  <si>
    <t>Орехова Дарья</t>
  </si>
  <si>
    <t>Пуртова Анна</t>
  </si>
  <si>
    <t>Роженцова Валерия</t>
  </si>
  <si>
    <t>Рубцов Артемий</t>
  </si>
  <si>
    <t>Ручкин Даниил</t>
  </si>
  <si>
    <t>Сергеева Валерия</t>
  </si>
  <si>
    <t>Смыслова Ангелина</t>
  </si>
  <si>
    <t>Токтаева Полина</t>
  </si>
  <si>
    <t>Фицай Карина</t>
  </si>
  <si>
    <t>Шалахова Екатерина</t>
  </si>
  <si>
    <t>Ж</t>
  </si>
  <si>
    <t>год рождения</t>
  </si>
  <si>
    <t>2008 год</t>
  </si>
  <si>
    <t>2009 год</t>
  </si>
  <si>
    <t>16 лет</t>
  </si>
  <si>
    <t>15 лет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</si>
</sst>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полов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C3F-4EB8-8B98-66291DBDF7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C3F-4EB8-8B98-66291DBDF7C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Лист1!$C$33:$D$33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Лист1!$C$34:$D$34</c:f>
              <c:numCache>
                <c:formatCode>General</c:formatCode>
                <c:ptCount val="2"/>
                <c:pt idx="0">
                  <c:v>12</c:v>
                </c:pt>
                <c:pt idx="1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43-40AF-A9CE-E675C35C94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</a:t>
            </a:r>
            <a:r>
              <a:rPr lang="ru-RU" baseline="0"/>
              <a:t> годов рождения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Лист1!$R$33:$S$33</c:f>
              <c:strCache>
                <c:ptCount val="2"/>
                <c:pt idx="0">
                  <c:v>2008 год</c:v>
                </c:pt>
                <c:pt idx="1">
                  <c:v>2009 год</c:v>
                </c:pt>
              </c:strCache>
            </c:strRef>
          </c:cat>
          <c:val>
            <c:numRef>
              <c:f>Лист1!$R$34:$S$34</c:f>
              <c:numCache>
                <c:formatCode>General</c:formatCode>
                <c:ptCount val="2"/>
                <c:pt idx="0">
                  <c:v>5</c:v>
                </c:pt>
                <c:pt idx="1">
                  <c:v>18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BE-4F46-96F1-C917D4EF4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148672"/>
        <c:axId val="176408256"/>
      </c:barChart>
      <c:catAx>
        <c:axId val="20514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08256"/>
        <c:crosses val="autoZero"/>
        <c:auto val="1"/>
        <c:lblAlgn val="ctr"/>
        <c:lblOffset val="100"/>
        <c:noMultiLvlLbl val="0"/>
      </c:catAx>
      <c:valAx>
        <c:axId val="17640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4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Соотношение возрастов</a:t>
            </a:r>
          </a:p>
        </c:rich>
      </c:tx>
      <c:layout>
        <c:manualLayout>
          <c:xMode val="edge"/>
          <c:yMode val="edge"/>
          <c:x val="0.2391645781119465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Лист1!$I$33:$J$33</c:f>
              <c:strCache>
                <c:ptCount val="2"/>
                <c:pt idx="0">
                  <c:v>16 лет</c:v>
                </c:pt>
                <c:pt idx="1">
                  <c:v>15 лет</c:v>
                </c:pt>
              </c:strCache>
            </c:strRef>
          </c:cat>
          <c:val>
            <c:numRef>
              <c:f>Лист1!$I$34:$J$34</c:f>
              <c:numCache>
                <c:formatCode>General</c:formatCode>
                <c:ptCount val="2"/>
                <c:pt idx="0">
                  <c:v>10</c:v>
                </c:pt>
                <c:pt idx="1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42-45CF-9DA6-63918EA8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149696"/>
        <c:axId val="176409984"/>
      </c:barChart>
      <c:catAx>
        <c:axId val="205149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409984"/>
        <c:crosses val="autoZero"/>
        <c:auto val="1"/>
        <c:lblAlgn val="ctr"/>
        <c:lblOffset val="100"/>
        <c:noMultiLvlLbl val="0"/>
      </c:catAx>
      <c:valAx>
        <c:axId val="176409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4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27609</xdr:colOff>
      <xdr:row>34</xdr:row>
      <xdr:rowOff>177592</xdr:rowOff>
    </xdr:from>
    <xdr:to>
      <xdr:col>4</xdr:col>
      <xdr:colOff>163030</xdr:colOff>
      <xdr:row>45</xdr:row>
      <xdr:rowOff>96631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770CB14-57C6-4047-8052-FA57D7C63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73025</xdr:colOff>
      <xdr:row>35</xdr:row>
      <xdr:rowOff>28092</xdr:rowOff>
    </xdr:from>
    <xdr:to>
      <xdr:col>21</xdr:col>
      <xdr:colOff>130175</xdr:colOff>
      <xdr:row>48</xdr:row>
      <xdr:rowOff>90004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xmlns="" id="{736E3B76-E946-4601-A593-8BD4C6D8A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535608</xdr:colOff>
      <xdr:row>35</xdr:row>
      <xdr:rowOff>124791</xdr:rowOff>
    </xdr:from>
    <xdr:to>
      <xdr:col>13</xdr:col>
      <xdr:colOff>71092</xdr:colOff>
      <xdr:row>47</xdr:row>
      <xdr:rowOff>139077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xmlns="" id="{529CE54A-C1A7-470E-A454-15FA69C2B4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zoomScaleNormal="100" workbookViewId="0">
      <selection activeCell="R33" sqref="R33:S34"/>
    </sheetView>
  </sheetViews>
  <sheetFormatPr defaultRowHeight="15" x14ac:dyDescent="0.25"/>
  <cols>
    <col min="1" max="1" width="21.42578125" customWidth="1"/>
    <col min="4" max="4" width="14.42578125" customWidth="1"/>
    <col min="5" max="5" width="10.140625" customWidth="1"/>
    <col min="6" max="6" width="9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28</v>
      </c>
    </row>
    <row r="2" spans="1:4" x14ac:dyDescent="0.25">
      <c r="A2" t="s">
        <v>3</v>
      </c>
      <c r="B2" t="s">
        <v>4</v>
      </c>
      <c r="C2">
        <v>16</v>
      </c>
      <c r="D2">
        <v>2009</v>
      </c>
    </row>
    <row r="3" spans="1:4" x14ac:dyDescent="0.25">
      <c r="A3" t="s">
        <v>5</v>
      </c>
      <c r="B3" t="s">
        <v>4</v>
      </c>
      <c r="C3">
        <v>16</v>
      </c>
      <c r="D3">
        <v>2008</v>
      </c>
    </row>
    <row r="4" spans="1:4" x14ac:dyDescent="0.25">
      <c r="A4" t="s">
        <v>6</v>
      </c>
      <c r="B4" t="s">
        <v>27</v>
      </c>
      <c r="C4">
        <v>16</v>
      </c>
      <c r="D4">
        <v>2009</v>
      </c>
    </row>
    <row r="5" spans="1:4" x14ac:dyDescent="0.25">
      <c r="A5" t="s">
        <v>7</v>
      </c>
      <c r="B5" t="s">
        <v>4</v>
      </c>
      <c r="C5">
        <v>15</v>
      </c>
      <c r="D5">
        <v>2009</v>
      </c>
    </row>
    <row r="6" spans="1:4" x14ac:dyDescent="0.25">
      <c r="A6" t="s">
        <v>8</v>
      </c>
      <c r="B6" t="s">
        <v>4</v>
      </c>
      <c r="C6">
        <v>17</v>
      </c>
      <c r="D6">
        <v>2008</v>
      </c>
    </row>
    <row r="7" spans="1:4" x14ac:dyDescent="0.25">
      <c r="A7" t="s">
        <v>9</v>
      </c>
      <c r="B7" t="s">
        <v>4</v>
      </c>
      <c r="C7">
        <v>15</v>
      </c>
      <c r="D7">
        <v>2009</v>
      </c>
    </row>
    <row r="8" spans="1:4" x14ac:dyDescent="0.25">
      <c r="A8" t="s">
        <v>10</v>
      </c>
      <c r="B8" t="s">
        <v>4</v>
      </c>
      <c r="C8">
        <v>15</v>
      </c>
      <c r="D8">
        <v>2009</v>
      </c>
    </row>
    <row r="9" spans="1:4" x14ac:dyDescent="0.25">
      <c r="A9" t="s">
        <v>11</v>
      </c>
      <c r="B9" t="s">
        <v>4</v>
      </c>
      <c r="C9">
        <v>15</v>
      </c>
      <c r="D9">
        <v>2009</v>
      </c>
    </row>
    <row r="10" spans="1:4" x14ac:dyDescent="0.25">
      <c r="A10" t="s">
        <v>12</v>
      </c>
      <c r="B10" t="s">
        <v>4</v>
      </c>
      <c r="C10">
        <v>16</v>
      </c>
      <c r="D10">
        <v>2008</v>
      </c>
    </row>
    <row r="11" spans="1:4" x14ac:dyDescent="0.25">
      <c r="A11" t="s">
        <v>13</v>
      </c>
      <c r="B11" t="s">
        <v>27</v>
      </c>
      <c r="C11">
        <v>16</v>
      </c>
      <c r="D11">
        <v>2009</v>
      </c>
    </row>
    <row r="12" spans="1:4" x14ac:dyDescent="0.25">
      <c r="A12" t="s">
        <v>14</v>
      </c>
      <c r="B12" t="s">
        <v>4</v>
      </c>
      <c r="C12">
        <v>15</v>
      </c>
      <c r="D12">
        <v>2009</v>
      </c>
    </row>
    <row r="13" spans="1:4" x14ac:dyDescent="0.25">
      <c r="A13" t="s">
        <v>15</v>
      </c>
      <c r="B13" t="s">
        <v>27</v>
      </c>
      <c r="C13">
        <v>15</v>
      </c>
      <c r="D13">
        <v>2009</v>
      </c>
    </row>
    <row r="14" spans="1:4" x14ac:dyDescent="0.25">
      <c r="A14" t="s">
        <v>16</v>
      </c>
      <c r="B14" t="s">
        <v>4</v>
      </c>
      <c r="C14">
        <v>15</v>
      </c>
      <c r="D14">
        <v>2009</v>
      </c>
    </row>
    <row r="15" spans="1:4" x14ac:dyDescent="0.25">
      <c r="A15" t="s">
        <v>17</v>
      </c>
      <c r="B15" t="s">
        <v>27</v>
      </c>
      <c r="C15">
        <v>16</v>
      </c>
      <c r="D15">
        <v>2009</v>
      </c>
    </row>
    <row r="16" spans="1:4" x14ac:dyDescent="0.25">
      <c r="A16" t="s">
        <v>18</v>
      </c>
      <c r="B16" t="s">
        <v>27</v>
      </c>
      <c r="C16">
        <v>16</v>
      </c>
      <c r="D16">
        <v>2008</v>
      </c>
    </row>
    <row r="17" spans="1:4" x14ac:dyDescent="0.25">
      <c r="A17" t="s">
        <v>19</v>
      </c>
      <c r="B17" t="s">
        <v>27</v>
      </c>
      <c r="C17">
        <v>16</v>
      </c>
      <c r="D17">
        <v>2008</v>
      </c>
    </row>
    <row r="18" spans="1:4" x14ac:dyDescent="0.25">
      <c r="A18" t="s">
        <v>20</v>
      </c>
      <c r="B18" t="s">
        <v>4</v>
      </c>
      <c r="C18">
        <v>15</v>
      </c>
      <c r="D18">
        <v>2009</v>
      </c>
    </row>
    <row r="19" spans="1:4" x14ac:dyDescent="0.25">
      <c r="A19" t="s">
        <v>21</v>
      </c>
      <c r="B19" t="s">
        <v>4</v>
      </c>
      <c r="C19">
        <v>16</v>
      </c>
      <c r="D19">
        <v>2009</v>
      </c>
    </row>
    <row r="20" spans="1:4" x14ac:dyDescent="0.25">
      <c r="A20" t="s">
        <v>22</v>
      </c>
      <c r="B20" t="s">
        <v>27</v>
      </c>
      <c r="C20">
        <v>15</v>
      </c>
      <c r="D20">
        <v>2009</v>
      </c>
    </row>
    <row r="21" spans="1:4" x14ac:dyDescent="0.25">
      <c r="A21" t="s">
        <v>23</v>
      </c>
      <c r="B21" t="s">
        <v>27</v>
      </c>
      <c r="C21">
        <v>15</v>
      </c>
      <c r="D21">
        <v>2009</v>
      </c>
    </row>
    <row r="22" spans="1:4" x14ac:dyDescent="0.25">
      <c r="A22" t="s">
        <v>24</v>
      </c>
      <c r="B22" t="s">
        <v>27</v>
      </c>
      <c r="C22">
        <v>15</v>
      </c>
      <c r="D22">
        <v>2009</v>
      </c>
    </row>
    <row r="23" spans="1:4" x14ac:dyDescent="0.25">
      <c r="A23" t="s">
        <v>25</v>
      </c>
      <c r="B23" t="s">
        <v>27</v>
      </c>
      <c r="C23">
        <v>15</v>
      </c>
      <c r="D23">
        <v>2009</v>
      </c>
    </row>
    <row r="24" spans="1:4" x14ac:dyDescent="0.25">
      <c r="A24" t="s">
        <v>26</v>
      </c>
      <c r="B24" t="s">
        <v>27</v>
      </c>
      <c r="C24">
        <v>16</v>
      </c>
      <c r="D24">
        <v>2009</v>
      </c>
    </row>
    <row r="33" spans="3:19" x14ac:dyDescent="0.25">
      <c r="C33" t="s">
        <v>4</v>
      </c>
      <c r="D33" t="s">
        <v>27</v>
      </c>
      <c r="I33" t="s">
        <v>31</v>
      </c>
      <c r="J33" t="s">
        <v>32</v>
      </c>
      <c r="R33" t="s">
        <v>29</v>
      </c>
      <c r="S33" t="s">
        <v>30</v>
      </c>
    </row>
    <row r="34" spans="3:19" x14ac:dyDescent="0.25">
      <c r="C34">
        <f>COUNTIF(B:B,"М")</f>
        <v>12</v>
      </c>
      <c r="D34">
        <f>COUNTIF(B:B,"Ж")</f>
        <v>11</v>
      </c>
      <c r="I34">
        <f>COUNTIF(C:C,16)</f>
        <v>10</v>
      </c>
      <c r="J34">
        <f>COUNTIF(C:C,15)</f>
        <v>12</v>
      </c>
      <c r="R34">
        <f>COUNTIF(D:D,2008)</f>
        <v>5</v>
      </c>
      <c r="S34">
        <f>COUNTIF(D:D,2009)</f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Падаван</cp:lastModifiedBy>
  <dcterms:created xsi:type="dcterms:W3CDTF">2025-03-11T15:17:39Z</dcterms:created>
  <dcterms:modified xsi:type="dcterms:W3CDTF">2025-05-06T14:29:05Z</dcterms:modified>
</cp:coreProperties>
</file>